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ORN\Downloads\"/>
    </mc:Choice>
  </mc:AlternateContent>
  <xr:revisionPtr revIDLastSave="0" documentId="13_ncr:1_{4F169754-DE35-4CB8-83D7-37628E8100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ctions" sheetId="1" r:id="rId1"/>
    <sheet name="Vendor Master" sheetId="2" r:id="rId2"/>
    <sheet name="Summary" sheetId="3" r:id="rId3"/>
    <sheet name="OLD - DO NOT USE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4" i="3" l="1"/>
</calcChain>
</file>

<file path=xl/sharedStrings.xml><?xml version="1.0" encoding="utf-8"?>
<sst xmlns="http://schemas.openxmlformats.org/spreadsheetml/2006/main" count="507" uniqueCount="346">
  <si>
    <t>Txn ID</t>
  </si>
  <si>
    <t>DATE</t>
  </si>
  <si>
    <t>date processed</t>
  </si>
  <si>
    <t>VENDOR / SUPPLIER NAME</t>
  </si>
  <si>
    <t>amt</t>
  </si>
  <si>
    <t>Amount (USD)</t>
  </si>
  <si>
    <t>ccy</t>
  </si>
  <si>
    <t>DEPARTMENT</t>
  </si>
  <si>
    <t>Status</t>
  </si>
  <si>
    <t>approved by</t>
  </si>
  <si>
    <t>Notes / Comments</t>
  </si>
  <si>
    <t>Invoice #</t>
  </si>
  <si>
    <t>PO Number</t>
  </si>
  <si>
    <t>Category</t>
  </si>
  <si>
    <t>TAX?</t>
  </si>
  <si>
    <t>tax amt</t>
  </si>
  <si>
    <t>NET</t>
  </si>
  <si>
    <t>TXN-001</t>
  </si>
  <si>
    <t>01/05/2024</t>
  </si>
  <si>
    <t>2024-01-07</t>
  </si>
  <si>
    <t>Safaricom Ltd</t>
  </si>
  <si>
    <t>KES</t>
  </si>
  <si>
    <t>IT</t>
  </si>
  <si>
    <t>Approved</t>
  </si>
  <si>
    <t>J. Mwangi</t>
  </si>
  <si>
    <t>INV-2024-001</t>
  </si>
  <si>
    <t>PO-881</t>
  </si>
  <si>
    <t>Software</t>
  </si>
  <si>
    <t>Y</t>
  </si>
  <si>
    <t>TXN-002</t>
  </si>
  <si>
    <t>January 8</t>
  </si>
  <si>
    <t>08-Jan-24</t>
  </si>
  <si>
    <t>KPLC</t>
  </si>
  <si>
    <t>OPS</t>
  </si>
  <si>
    <t>Ops</t>
  </si>
  <si>
    <t>APPROVED</t>
  </si>
  <si>
    <t>A. Kamau</t>
  </si>
  <si>
    <t>INV-002</t>
  </si>
  <si>
    <t>PO-882</t>
  </si>
  <si>
    <t>Utilities</t>
  </si>
  <si>
    <t>N</t>
  </si>
  <si>
    <t>TXN-003</t>
  </si>
  <si>
    <t>2024/01/10</t>
  </si>
  <si>
    <t>10/01/2024</t>
  </si>
  <si>
    <t>Nairobi Water</t>
  </si>
  <si>
    <t>kes</t>
  </si>
  <si>
    <t>Pending</t>
  </si>
  <si>
    <t>NEEDS FOLLOW UP</t>
  </si>
  <si>
    <t>PO-883</t>
  </si>
  <si>
    <t>TXN-004</t>
  </si>
  <si>
    <t>12-Jan-24</t>
  </si>
  <si>
    <t>15/01/2024</t>
  </si>
  <si>
    <t>Dell Technologies</t>
  </si>
  <si>
    <t>USD</t>
  </si>
  <si>
    <t>approved</t>
  </si>
  <si>
    <t>laptops x3 - see PO</t>
  </si>
  <si>
    <t>INV-DELL-04</t>
  </si>
  <si>
    <t>PO-884</t>
  </si>
  <si>
    <t>Hardware</t>
  </si>
  <si>
    <t>TXN-005</t>
  </si>
  <si>
    <t>2024-01-15</t>
  </si>
  <si>
    <t>Uber Kenya</t>
  </si>
  <si>
    <t>HR</t>
  </si>
  <si>
    <t>Human Resources</t>
  </si>
  <si>
    <t>B. Otieno</t>
  </si>
  <si>
    <t>staff transport</t>
  </si>
  <si>
    <t>R-2024-15</t>
  </si>
  <si>
    <t>Transport</t>
  </si>
  <si>
    <t>TXN-006</t>
  </si>
  <si>
    <t>16 Jan 2024</t>
  </si>
  <si>
    <t>2024-01-17</t>
  </si>
  <si>
    <t>CafĂ© Java</t>
  </si>
  <si>
    <t>Admin</t>
  </si>
  <si>
    <t>M. Njeri</t>
  </si>
  <si>
    <t>Board lunch meeting</t>
  </si>
  <si>
    <t>CJ-00456</t>
  </si>
  <si>
    <t>PO-886</t>
  </si>
  <si>
    <t>Meals</t>
  </si>
  <si>
    <t>TXN-007</t>
  </si>
  <si>
    <t>18/01/2024</t>
  </si>
  <si>
    <t>AWS</t>
  </si>
  <si>
    <t>REJECTED</t>
  </si>
  <si>
    <t>Cloud - exceeded budget! Resubmit with HOD approval</t>
  </si>
  <si>
    <t>AWS-JAN24</t>
  </si>
  <si>
    <t>Cloud</t>
  </si>
  <si>
    <t>TXN-008</t>
  </si>
  <si>
    <t>Jan 20 2024</t>
  </si>
  <si>
    <t>22-Jan-24</t>
  </si>
  <si>
    <t>Jubilee Insurance</t>
  </si>
  <si>
    <t>FIN</t>
  </si>
  <si>
    <t>Finance</t>
  </si>
  <si>
    <t>C. Wanjiru</t>
  </si>
  <si>
    <t>JI-2024-Q1</t>
  </si>
  <si>
    <t>PO-887</t>
  </si>
  <si>
    <t>Insurance</t>
  </si>
  <si>
    <t>TXN-009</t>
  </si>
  <si>
    <t>2024-01-22</t>
  </si>
  <si>
    <t>2024-01-23</t>
  </si>
  <si>
    <t>safaricom ltd</t>
  </si>
  <si>
    <t>j. mwangi</t>
  </si>
  <si>
    <t>airtime top up</t>
  </si>
  <si>
    <t>SAF-JAN-9</t>
  </si>
  <si>
    <t>PO-888</t>
  </si>
  <si>
    <t>Telecom</t>
  </si>
  <si>
    <t>TXN-010</t>
  </si>
  <si>
    <t>23/01/24</t>
  </si>
  <si>
    <t>25/01/2024</t>
  </si>
  <si>
    <t>KPMG Kenya</t>
  </si>
  <si>
    <t>CEO</t>
  </si>
  <si>
    <t>Q4 audit fees</t>
  </si>
  <si>
    <t>KPMG-2024-1</t>
  </si>
  <si>
    <t>PO-889</t>
  </si>
  <si>
    <t>Prof Fees</t>
  </si>
  <si>
    <t>TXN-011</t>
  </si>
  <si>
    <t>25-Jan-2024</t>
  </si>
  <si>
    <t>2024-01-26</t>
  </si>
  <si>
    <t>G4S Kenya Ltd</t>
  </si>
  <si>
    <t>Operations</t>
  </si>
  <si>
    <t>G4S-JAN24</t>
  </si>
  <si>
    <t>PO-890</t>
  </si>
  <si>
    <t>Security</t>
  </si>
  <si>
    <t>TXN-012</t>
  </si>
  <si>
    <t>27/01/2024</t>
  </si>
  <si>
    <t>Petty Cash</t>
  </si>
  <si>
    <t>Stationary</t>
  </si>
  <si>
    <t>Office</t>
  </si>
  <si>
    <t>TXN-013</t>
  </si>
  <si>
    <t>29 Jan 2024</t>
  </si>
  <si>
    <t>30/01/2024</t>
  </si>
  <si>
    <t>Kenya Airways</t>
  </si>
  <si>
    <t>Biz Dev</t>
  </si>
  <si>
    <t>Flights - Dubai trip Feb</t>
  </si>
  <si>
    <t>KQ-BKG-1301</t>
  </si>
  <si>
    <t>PO-891</t>
  </si>
  <si>
    <t>Travel</t>
  </si>
  <si>
    <t>TXN-014</t>
  </si>
  <si>
    <t>31/01/2024</t>
  </si>
  <si>
    <t>2024-02-01</t>
  </si>
  <si>
    <t>Nation Media Group</t>
  </si>
  <si>
    <t>Marketing</t>
  </si>
  <si>
    <t>print ads Q1</t>
  </si>
  <si>
    <t>NMG-2024-14</t>
  </si>
  <si>
    <t>PO-892</t>
  </si>
  <si>
    <t>TXN-015</t>
  </si>
  <si>
    <t>2024-02-02</t>
  </si>
  <si>
    <t>Feb 3, 2024</t>
  </si>
  <si>
    <t>Microsoft</t>
  </si>
  <si>
    <t>M365 renewal - URGENT invoice missing</t>
  </si>
  <si>
    <t>TXN-016</t>
  </si>
  <si>
    <t>04/02/2024</t>
  </si>
  <si>
    <t>04-Feb-24</t>
  </si>
  <si>
    <t>Cleantech Services</t>
  </si>
  <si>
    <t>office cleaning Feb</t>
  </si>
  <si>
    <t>CT-FEB-001</t>
  </si>
  <si>
    <t>PO-893</t>
  </si>
  <si>
    <t>Facilities</t>
  </si>
  <si>
    <t>TXN-017</t>
  </si>
  <si>
    <t>6-Feb-2024</t>
  </si>
  <si>
    <t>2024-02-07</t>
  </si>
  <si>
    <t>Equity Bank</t>
  </si>
  <si>
    <t>bank charges</t>
  </si>
  <si>
    <t>EQB-FEB-17</t>
  </si>
  <si>
    <t>Bank Fees</t>
  </si>
  <si>
    <t>TXN-018</t>
  </si>
  <si>
    <t>Feb 8 2024</t>
  </si>
  <si>
    <t>09/02/2024</t>
  </si>
  <si>
    <t>POSSIBLE DUPLICATE - check vs TXN-001</t>
  </si>
  <si>
    <t>TXN-019</t>
  </si>
  <si>
    <t>10/02/2024</t>
  </si>
  <si>
    <t>2024-02-11</t>
  </si>
  <si>
    <t>Kenya Power</t>
  </si>
  <si>
    <t>A.Kamau</t>
  </si>
  <si>
    <t>elec feb</t>
  </si>
  <si>
    <t>KPLC-FEB19</t>
  </si>
  <si>
    <t>PO-894</t>
  </si>
  <si>
    <t>TXN-020</t>
  </si>
  <si>
    <t>2024-02-14</t>
  </si>
  <si>
    <t>14-Feb-24</t>
  </si>
  <si>
    <t>Flowers &amp; Events Co</t>
  </si>
  <si>
    <t>valentines office decor??</t>
  </si>
  <si>
    <t>FE-2024-020</t>
  </si>
  <si>
    <t>Misc</t>
  </si>
  <si>
    <t>TXN-021</t>
  </si>
  <si>
    <t>15/02/2024</t>
  </si>
  <si>
    <t>16/02/2024</t>
  </si>
  <si>
    <t>Strathmore University</t>
  </si>
  <si>
    <t>staff training program</t>
  </si>
  <si>
    <t>STRATH-001</t>
  </si>
  <si>
    <t>PO-895</t>
  </si>
  <si>
    <t>Training</t>
  </si>
  <si>
    <t>TXN-022</t>
  </si>
  <si>
    <t>2024-02-18</t>
  </si>
  <si>
    <t>N/A</t>
  </si>
  <si>
    <t>tea/coffee supplies</t>
  </si>
  <si>
    <t>TXN-023</t>
  </si>
  <si>
    <t>19-Feb-2024</t>
  </si>
  <si>
    <t>2024-02-20</t>
  </si>
  <si>
    <t>DHL Kenya</t>
  </si>
  <si>
    <t>courier - client docs</t>
  </si>
  <si>
    <t>DHL-23456</t>
  </si>
  <si>
    <t>PO-896</t>
  </si>
  <si>
    <t>Courier</t>
  </si>
  <si>
    <t>TXN-024</t>
  </si>
  <si>
    <t>21/02/2024</t>
  </si>
  <si>
    <t>Feb 22 2024</t>
  </si>
  <si>
    <t>Zuku Fiber</t>
  </si>
  <si>
    <t>ZK-FEB-24</t>
  </si>
  <si>
    <t>PO-897</t>
  </si>
  <si>
    <t>Internet</t>
  </si>
  <si>
    <t>TXN-025</t>
  </si>
  <si>
    <t>2024-02-28</t>
  </si>
  <si>
    <t>2024-03-01</t>
  </si>
  <si>
    <t>Q1 audit retainer - awaiting board approval</t>
  </si>
  <si>
    <t>KPMG-2024-2</t>
  </si>
  <si>
    <t>PO-898</t>
  </si>
  <si>
    <t>Vendor ID</t>
  </si>
  <si>
    <t>Vendor Name</t>
  </si>
  <si>
    <t>KRA PIN</t>
  </si>
  <si>
    <t>Contact Person</t>
  </si>
  <si>
    <t>Phone</t>
  </si>
  <si>
    <t>Email</t>
  </si>
  <si>
    <t>Bank Name</t>
  </si>
  <si>
    <t>Account No.</t>
  </si>
  <si>
    <t>Branch</t>
  </si>
  <si>
    <t>On-boarded Date</t>
  </si>
  <si>
    <t>Last Updated</t>
  </si>
  <si>
    <t>V-001</t>
  </si>
  <si>
    <t>P051449717M</t>
  </si>
  <si>
    <t>John Kariuki</t>
  </si>
  <si>
    <t>0722000000</t>
  </si>
  <si>
    <t>jkariuki@safaricom.co.ke</t>
  </si>
  <si>
    <t>0023456789</t>
  </si>
  <si>
    <t>Westlands</t>
  </si>
  <si>
    <t>Active</t>
  </si>
  <si>
    <t>2020-03-15</t>
  </si>
  <si>
    <t>2024-01-02</t>
  </si>
  <si>
    <t>V-002</t>
  </si>
  <si>
    <t>020 3201000</t>
  </si>
  <si>
    <t>Kenya Commercial Bank</t>
  </si>
  <si>
    <t>CBD</t>
  </si>
  <si>
    <t>2019-01-10</t>
  </si>
  <si>
    <t>V-003</t>
  </si>
  <si>
    <t>P000111222A</t>
  </si>
  <si>
    <t>Cooperative Bank</t>
  </si>
  <si>
    <t>2022-06-01</t>
  </si>
  <si>
    <t>V-004</t>
  </si>
  <si>
    <t>P051123456B</t>
  </si>
  <si>
    <t>Amina Odhiambo</t>
  </si>
  <si>
    <t>0733111222</t>
  </si>
  <si>
    <t>aodhiambo@dell.com</t>
  </si>
  <si>
    <t>Citibank</t>
  </si>
  <si>
    <t>1234567890</t>
  </si>
  <si>
    <t>Upperhill</t>
  </si>
  <si>
    <t>2021-07-22</t>
  </si>
  <si>
    <t>V-005</t>
  </si>
  <si>
    <t>NOT REGISTERED</t>
  </si>
  <si>
    <t>Various</t>
  </si>
  <si>
    <t>Mpesa</t>
  </si>
  <si>
    <t>2022-11-01</t>
  </si>
  <si>
    <t>V-006</t>
  </si>
  <si>
    <t>Café Java</t>
  </si>
  <si>
    <t>P052233445C</t>
  </si>
  <si>
    <t>Manager</t>
  </si>
  <si>
    <t>020 2345678</t>
  </si>
  <si>
    <t>manager@cafejava.co.ke</t>
  </si>
  <si>
    <t>2023-03-10</t>
  </si>
  <si>
    <t>V-007</t>
  </si>
  <si>
    <t>FOREIGN</t>
  </si>
  <si>
    <t>Account Mgr</t>
  </si>
  <si>
    <t>billing@amazon.com</t>
  </si>
  <si>
    <t>2020-05-01</t>
  </si>
  <si>
    <t>2024-01-01</t>
  </si>
  <si>
    <t>V-008</t>
  </si>
  <si>
    <t>P000222333D</t>
  </si>
  <si>
    <t>Peter Ndung'u</t>
  </si>
  <si>
    <t>020 3282000</t>
  </si>
  <si>
    <t>pndungu@jubilee.co.ke</t>
  </si>
  <si>
    <t>Barclays</t>
  </si>
  <si>
    <t>9876543210</t>
  </si>
  <si>
    <t>Upper Hill</t>
  </si>
  <si>
    <t>2018-06-12</t>
  </si>
  <si>
    <t>2023-12-01</t>
  </si>
  <si>
    <t>V-009</t>
  </si>
  <si>
    <t>P000444555E</t>
  </si>
  <si>
    <t>Susan Mwenda</t>
  </si>
  <si>
    <t>020 2806000</t>
  </si>
  <si>
    <t>smwenda@kpmg.co.ke</t>
  </si>
  <si>
    <t>Standard Chartered</t>
  </si>
  <si>
    <t>1122334455</t>
  </si>
  <si>
    <t>2015-01-15</t>
  </si>
  <si>
    <t>2024-01-05</t>
  </si>
  <si>
    <t>V-010</t>
  </si>
  <si>
    <t>P051987654F</t>
  </si>
  <si>
    <t xml:space="preserve">             0800 723 232</t>
  </si>
  <si>
    <t>info@g4s.co.ke</t>
  </si>
  <si>
    <t>5566778899</t>
  </si>
  <si>
    <t>2017-09-01</t>
  </si>
  <si>
    <t>V-011</t>
  </si>
  <si>
    <t>P000123789G</t>
  </si>
  <si>
    <t>James Mwai</t>
  </si>
  <si>
    <t>020 3288000</t>
  </si>
  <si>
    <t>jmwai@nationmedia.com</t>
  </si>
  <si>
    <t>KCB</t>
  </si>
  <si>
    <t>6677889900</t>
  </si>
  <si>
    <t>2016-04-20</t>
  </si>
  <si>
    <t>2023-11-15</t>
  </si>
  <si>
    <t>V-012</t>
  </si>
  <si>
    <t>2021-01-01</t>
  </si>
  <si>
    <t>V-013</t>
  </si>
  <si>
    <t>Grace Waweru</t>
  </si>
  <si>
    <t>0712345678</t>
  </si>
  <si>
    <t>grace@cleantech.co.ke</t>
  </si>
  <si>
    <t>Cooperative</t>
  </si>
  <si>
    <t>3344556677</t>
  </si>
  <si>
    <t>2023-03-01</t>
  </si>
  <si>
    <t>V-014</t>
  </si>
  <si>
    <t>UNKNOWN</t>
  </si>
  <si>
    <t>0798765432</t>
  </si>
  <si>
    <t>V-015</t>
  </si>
  <si>
    <t>P000567890H</t>
  </si>
  <si>
    <t>Tom Oloo</t>
  </si>
  <si>
    <t>020 6991000</t>
  </si>
  <si>
    <t>toloo@dhl.com</t>
  </si>
  <si>
    <t>4455667788</t>
  </si>
  <si>
    <t>JKIA</t>
  </si>
  <si>
    <t>2020-08-11</t>
  </si>
  <si>
    <t>EXPENSE SUMMARY - JAN/FEB 2024</t>
  </si>
  <si>
    <t>Total (KES)</t>
  </si>
  <si>
    <t># Transactions</t>
  </si>
  <si>
    <t>% of Total</t>
  </si>
  <si>
    <t>TOTAL</t>
  </si>
  <si>
    <t>NOTE: Summary not yet populated - Transactions sheet still being cleaned up by Accounts team (as at 29 Feb 2024)</t>
  </si>
  <si>
    <t>2023 data - superseded</t>
  </si>
  <si>
    <t>DO NOT REFERENCE THIS SHEET</t>
  </si>
  <si>
    <t>TXN-2023-001</t>
  </si>
  <si>
    <t>TXN-2023-002</t>
  </si>
  <si>
    <t>TXN-2023-003</t>
  </si>
  <si>
    <t>TXN-2023-004</t>
  </si>
  <si>
    <t>TXN-2023-005</t>
  </si>
  <si>
    <t>TXN-2023-006</t>
  </si>
  <si>
    <t>TXN-2023-007</t>
  </si>
  <si>
    <t>TXN-2023-008</t>
  </si>
  <si>
    <t>TXN-2023-009</t>
  </si>
  <si>
    <t>TXN-2023-010</t>
  </si>
  <si>
    <t>TXN-2023-011</t>
  </si>
  <si>
    <t>TXN-2023-012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</si>
</sst>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color rgb="FFFFFFFF"/>
      <name val="Calibri"/>
    </font>
    <font>
      <b/>
      <sz val="9"/>
      <color rgb="FF000000"/>
      <name val="Times New Roman"/>
    </font>
    <font>
      <sz val="10"/>
      <name val="Calibri"/>
    </font>
    <font>
      <b/>
      <sz val="14"/>
      <name val="Arial"/>
    </font>
    <font>
      <b/>
      <sz val="11"/>
      <name val="Arial"/>
    </font>
    <font>
      <b/>
      <sz val="11"/>
      <color rgb="FFFFFFFF"/>
      <name val="Arial"/>
    </font>
    <font>
      <i/>
      <sz val="9"/>
      <color rgb="FFFF0000"/>
      <name val="Calibri"/>
    </font>
    <font>
      <b/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D9D9D9"/>
      </patternFill>
    </fill>
    <fill>
      <patternFill patternType="solid">
        <fgColor rgb="FFEBF3FB"/>
      </patternFill>
    </fill>
    <fill>
      <patternFill patternType="solid">
        <fgColor rgb="FF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/>
    <xf numFmtId="0" fontId="4" fillId="0" borderId="0" xfId="0" applyFont="1"/>
    <xf numFmtId="0" fontId="1" fillId="6" borderId="0" xfId="0" applyFont="1" applyFill="1"/>
    <xf numFmtId="0" fontId="5" fillId="0" borderId="0" xfId="0" applyFont="1"/>
    <xf numFmtId="0" fontId="7" fillId="2" borderId="0" xfId="0" applyFont="1" applyFill="1"/>
    <xf numFmtId="0" fontId="6" fillId="0" borderId="0" xfId="0" applyFont="1"/>
    <xf numFmtId="0" fontId="8" fillId="0" borderId="0" xfId="0" applyFont="1"/>
    <xf numFmtId="0" fontId="9" fillId="0" borderId="0" xfId="0" applyFont="1"/>
    <xf numFmtId="0" fontId="4" fillId="5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workbookViewId="0">
      <pane ySplit="1" topLeftCell="A2" activePane="bottomLeft" state="frozen"/>
      <selection pane="bottomLeft" activeCell="H1" sqref="H1:H1048576"/>
    </sheetView>
  </sheetViews>
  <sheetFormatPr defaultRowHeight="14.5" x14ac:dyDescent="0.35"/>
  <cols>
    <col min="1" max="1" width="10" customWidth="1"/>
    <col min="2" max="2" width="12" customWidth="1"/>
    <col min="3" max="3" width="14" customWidth="1"/>
    <col min="4" max="4" width="28" customWidth="1"/>
    <col min="5" max="5" width="10" customWidth="1"/>
    <col min="6" max="6" width="12" customWidth="1"/>
    <col min="7" max="7" width="6" customWidth="1"/>
    <col min="8" max="8" width="14" customWidth="1"/>
    <col min="9" max="9" width="10" customWidth="1"/>
    <col min="10" max="10" width="14" customWidth="1"/>
    <col min="11" max="11" width="32" customWidth="1"/>
    <col min="12" max="12" width="16" customWidth="1"/>
    <col min="13" max="13" width="10" customWidth="1"/>
    <col min="14" max="14" width="12" customWidth="1"/>
    <col min="15" max="15" width="6" customWidth="1"/>
    <col min="16" max="16" width="8" customWidth="1"/>
    <col min="17" max="17" width="10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5">
      <c r="A2" s="4" t="s">
        <v>17</v>
      </c>
      <c r="B2" s="4" t="s">
        <v>18</v>
      </c>
      <c r="C2" s="4" t="s">
        <v>19</v>
      </c>
      <c r="D2" s="4" t="s">
        <v>20</v>
      </c>
      <c r="E2" s="4">
        <v>12500</v>
      </c>
      <c r="F2" s="4">
        <v>12500</v>
      </c>
      <c r="G2" s="4" t="s">
        <v>21</v>
      </c>
      <c r="H2" s="4" t="s">
        <v>22</v>
      </c>
      <c r="I2" s="4" t="s">
        <v>23</v>
      </c>
      <c r="J2" s="4" t="s">
        <v>24</v>
      </c>
      <c r="K2" s="12"/>
      <c r="L2" s="4" t="s">
        <v>25</v>
      </c>
      <c r="M2" s="4" t="s">
        <v>26</v>
      </c>
      <c r="N2" s="4" t="s">
        <v>27</v>
      </c>
      <c r="O2" s="4" t="s">
        <v>28</v>
      </c>
      <c r="P2" s="4">
        <v>1875</v>
      </c>
      <c r="Q2" s="4">
        <v>10625</v>
      </c>
    </row>
    <row r="3" spans="1:17" x14ac:dyDescent="0.35">
      <c r="A3" s="5" t="s">
        <v>29</v>
      </c>
      <c r="B3" s="5" t="s">
        <v>30</v>
      </c>
      <c r="C3" s="5" t="s">
        <v>31</v>
      </c>
      <c r="D3" s="5" t="s">
        <v>32</v>
      </c>
      <c r="E3" s="5"/>
      <c r="F3" s="5">
        <v>3200</v>
      </c>
      <c r="G3" s="5" t="s">
        <v>21</v>
      </c>
      <c r="H3" s="5" t="s">
        <v>34</v>
      </c>
      <c r="I3" s="5" t="s">
        <v>35</v>
      </c>
      <c r="J3" s="5" t="s">
        <v>36</v>
      </c>
      <c r="K3" s="13"/>
      <c r="L3" s="5" t="s">
        <v>37</v>
      </c>
      <c r="M3" s="5" t="s">
        <v>38</v>
      </c>
      <c r="N3" s="5" t="s">
        <v>39</v>
      </c>
      <c r="O3" s="5" t="s">
        <v>40</v>
      </c>
      <c r="P3" s="5"/>
      <c r="Q3" s="5">
        <v>3200</v>
      </c>
    </row>
    <row r="4" spans="1:17" x14ac:dyDescent="0.35">
      <c r="A4" s="4" t="s">
        <v>41</v>
      </c>
      <c r="B4" s="4" t="s">
        <v>42</v>
      </c>
      <c r="C4" s="4" t="s">
        <v>43</v>
      </c>
      <c r="D4" s="4" t="s">
        <v>44</v>
      </c>
      <c r="E4" s="4">
        <v>1450</v>
      </c>
      <c r="F4" s="4">
        <v>1450</v>
      </c>
      <c r="G4" s="4" t="s">
        <v>45</v>
      </c>
      <c r="H4" s="4"/>
      <c r="I4" s="4" t="s">
        <v>46</v>
      </c>
      <c r="J4" s="4"/>
      <c r="K4" s="4" t="s">
        <v>47</v>
      </c>
      <c r="L4" s="4"/>
      <c r="M4" s="4" t="s">
        <v>48</v>
      </c>
      <c r="N4" s="4" t="s">
        <v>39</v>
      </c>
      <c r="O4" s="4" t="s">
        <v>40</v>
      </c>
      <c r="P4" s="4">
        <v>0</v>
      </c>
      <c r="Q4" s="4">
        <v>1450</v>
      </c>
    </row>
    <row r="5" spans="1:17" x14ac:dyDescent="0.35">
      <c r="A5" s="5" t="s">
        <v>49</v>
      </c>
      <c r="B5" s="5" t="s">
        <v>50</v>
      </c>
      <c r="C5" s="5" t="s">
        <v>51</v>
      </c>
      <c r="D5" s="5" t="s">
        <v>52</v>
      </c>
      <c r="E5" s="5">
        <v>285000</v>
      </c>
      <c r="F5" s="5"/>
      <c r="G5" s="5" t="s">
        <v>53</v>
      </c>
      <c r="H5" s="5" t="s">
        <v>22</v>
      </c>
      <c r="I5" s="5" t="s">
        <v>54</v>
      </c>
      <c r="J5" s="5" t="s">
        <v>24</v>
      </c>
      <c r="K5" s="5" t="s">
        <v>55</v>
      </c>
      <c r="L5" s="5" t="s">
        <v>56</v>
      </c>
      <c r="M5" s="5" t="s">
        <v>57</v>
      </c>
      <c r="N5" s="5" t="s">
        <v>58</v>
      </c>
      <c r="O5" s="5" t="s">
        <v>28</v>
      </c>
      <c r="P5" s="5"/>
      <c r="Q5" s="5"/>
    </row>
    <row r="6" spans="1:17" x14ac:dyDescent="0.35">
      <c r="A6" s="4" t="s">
        <v>59</v>
      </c>
      <c r="B6" s="4" t="s">
        <v>60</v>
      </c>
      <c r="C6" s="4"/>
      <c r="D6" s="4" t="s">
        <v>61</v>
      </c>
      <c r="E6" s="4">
        <v>4200</v>
      </c>
      <c r="F6" s="4">
        <v>4200</v>
      </c>
      <c r="G6" s="4" t="s">
        <v>21</v>
      </c>
      <c r="H6" s="4" t="s">
        <v>63</v>
      </c>
      <c r="I6" s="4" t="s">
        <v>23</v>
      </c>
      <c r="J6" s="4" t="s">
        <v>64</v>
      </c>
      <c r="K6" s="4" t="s">
        <v>65</v>
      </c>
      <c r="L6" s="4" t="s">
        <v>66</v>
      </c>
      <c r="M6" s="4"/>
      <c r="N6" s="4" t="s">
        <v>67</v>
      </c>
      <c r="O6" s="4" t="s">
        <v>40</v>
      </c>
      <c r="P6" s="4"/>
      <c r="Q6" s="4">
        <v>4200</v>
      </c>
    </row>
    <row r="7" spans="1:17" x14ac:dyDescent="0.35">
      <c r="A7" s="5" t="s">
        <v>68</v>
      </c>
      <c r="B7" s="5" t="s">
        <v>69</v>
      </c>
      <c r="C7" s="5" t="s">
        <v>70</v>
      </c>
      <c r="D7" s="5" t="s">
        <v>71</v>
      </c>
      <c r="E7" s="5">
        <v>8750</v>
      </c>
      <c r="F7" s="5">
        <v>8750</v>
      </c>
      <c r="G7" s="5" t="s">
        <v>21</v>
      </c>
      <c r="H7" s="5" t="s">
        <v>72</v>
      </c>
      <c r="I7" s="5" t="s">
        <v>23</v>
      </c>
      <c r="J7" s="5" t="s">
        <v>73</v>
      </c>
      <c r="K7" s="5" t="s">
        <v>74</v>
      </c>
      <c r="L7" s="5" t="s">
        <v>75</v>
      </c>
      <c r="M7" s="5" t="s">
        <v>76</v>
      </c>
      <c r="N7" s="5" t="s">
        <v>77</v>
      </c>
      <c r="O7" s="5" t="s">
        <v>40</v>
      </c>
      <c r="P7" s="5">
        <v>0</v>
      </c>
      <c r="Q7" s="5">
        <v>8750</v>
      </c>
    </row>
    <row r="8" spans="1:17" x14ac:dyDescent="0.35">
      <c r="A8" s="4" t="s">
        <v>78</v>
      </c>
      <c r="B8" s="4" t="s">
        <v>79</v>
      </c>
      <c r="C8" s="4" t="s">
        <v>79</v>
      </c>
      <c r="D8" s="4" t="s">
        <v>80</v>
      </c>
      <c r="E8" s="4"/>
      <c r="F8" s="4">
        <v>420.5</v>
      </c>
      <c r="G8" s="4" t="s">
        <v>53</v>
      </c>
      <c r="H8" s="4" t="s">
        <v>22</v>
      </c>
      <c r="I8" s="4" t="s">
        <v>81</v>
      </c>
      <c r="J8" s="4" t="s">
        <v>24</v>
      </c>
      <c r="K8" s="4" t="s">
        <v>82</v>
      </c>
      <c r="L8" s="4" t="s">
        <v>83</v>
      </c>
      <c r="M8" s="4"/>
      <c r="N8" s="4" t="s">
        <v>84</v>
      </c>
      <c r="O8" s="4" t="s">
        <v>28</v>
      </c>
      <c r="P8" s="4">
        <v>63.075000000000003</v>
      </c>
      <c r="Q8" s="4">
        <v>357.42500000000001</v>
      </c>
    </row>
    <row r="9" spans="1:17" x14ac:dyDescent="0.35">
      <c r="A9" s="5" t="s">
        <v>85</v>
      </c>
      <c r="B9" s="5" t="s">
        <v>86</v>
      </c>
      <c r="C9" s="5" t="s">
        <v>87</v>
      </c>
      <c r="D9" s="5" t="s">
        <v>88</v>
      </c>
      <c r="E9" s="5">
        <v>95000</v>
      </c>
      <c r="F9" s="5">
        <v>95000</v>
      </c>
      <c r="G9" s="5" t="s">
        <v>21</v>
      </c>
      <c r="H9" s="5" t="s">
        <v>90</v>
      </c>
      <c r="I9" s="5" t="s">
        <v>23</v>
      </c>
      <c r="J9" s="5" t="s">
        <v>91</v>
      </c>
      <c r="K9" s="5"/>
      <c r="L9" s="5" t="s">
        <v>92</v>
      </c>
      <c r="M9" s="5" t="s">
        <v>93</v>
      </c>
      <c r="N9" s="5" t="s">
        <v>94</v>
      </c>
      <c r="O9" s="5" t="s">
        <v>40</v>
      </c>
      <c r="P9" s="5"/>
      <c r="Q9" s="5">
        <v>95000</v>
      </c>
    </row>
    <row r="10" spans="1:17" x14ac:dyDescent="0.35">
      <c r="A10" s="4" t="s">
        <v>95</v>
      </c>
      <c r="B10" s="4" t="s">
        <v>96</v>
      </c>
      <c r="C10" s="4" t="s">
        <v>97</v>
      </c>
      <c r="D10" s="4" t="s">
        <v>98</v>
      </c>
      <c r="E10" s="4">
        <v>3600</v>
      </c>
      <c r="F10" s="4">
        <v>3600</v>
      </c>
      <c r="G10" s="4" t="s">
        <v>21</v>
      </c>
      <c r="H10" s="4" t="s">
        <v>22</v>
      </c>
      <c r="I10" s="4" t="s">
        <v>23</v>
      </c>
      <c r="J10" s="4" t="s">
        <v>99</v>
      </c>
      <c r="K10" s="4" t="s">
        <v>100</v>
      </c>
      <c r="L10" s="4" t="s">
        <v>101</v>
      </c>
      <c r="M10" s="4" t="s">
        <v>102</v>
      </c>
      <c r="N10" s="4" t="s">
        <v>103</v>
      </c>
      <c r="O10" s="4" t="s">
        <v>40</v>
      </c>
      <c r="P10" s="4">
        <v>0</v>
      </c>
      <c r="Q10" s="4">
        <v>3600</v>
      </c>
    </row>
    <row r="11" spans="1:17" x14ac:dyDescent="0.35">
      <c r="A11" s="5" t="s">
        <v>104</v>
      </c>
      <c r="B11" s="5" t="s">
        <v>105</v>
      </c>
      <c r="C11" s="5" t="s">
        <v>106</v>
      </c>
      <c r="D11" s="5" t="s">
        <v>107</v>
      </c>
      <c r="E11" s="5">
        <v>450000</v>
      </c>
      <c r="F11" s="5">
        <v>450000</v>
      </c>
      <c r="G11" s="5" t="s">
        <v>21</v>
      </c>
      <c r="H11" s="5" t="s">
        <v>89</v>
      </c>
      <c r="I11" s="5" t="s">
        <v>23</v>
      </c>
      <c r="J11" s="5" t="s">
        <v>108</v>
      </c>
      <c r="K11" s="5" t="s">
        <v>109</v>
      </c>
      <c r="L11" s="5" t="s">
        <v>110</v>
      </c>
      <c r="M11" s="5" t="s">
        <v>111</v>
      </c>
      <c r="N11" s="5" t="s">
        <v>112</v>
      </c>
      <c r="O11" s="5" t="s">
        <v>28</v>
      </c>
      <c r="P11" s="5">
        <v>67500</v>
      </c>
      <c r="Q11" s="5">
        <v>382500</v>
      </c>
    </row>
    <row r="12" spans="1:17" x14ac:dyDescent="0.35">
      <c r="A12" s="4" t="s">
        <v>113</v>
      </c>
      <c r="B12" s="4" t="s">
        <v>114</v>
      </c>
      <c r="C12" s="4" t="s">
        <v>115</v>
      </c>
      <c r="D12" s="4" t="s">
        <v>116</v>
      </c>
      <c r="E12" s="4">
        <v>28000</v>
      </c>
      <c r="F12" s="4">
        <v>28000</v>
      </c>
      <c r="G12" s="4" t="s">
        <v>21</v>
      </c>
      <c r="H12" s="4" t="s">
        <v>117</v>
      </c>
      <c r="I12" s="4" t="s">
        <v>23</v>
      </c>
      <c r="J12" s="4" t="s">
        <v>36</v>
      </c>
      <c r="K12" s="4"/>
      <c r="L12" s="4" t="s">
        <v>118</v>
      </c>
      <c r="M12" s="4" t="s">
        <v>119</v>
      </c>
      <c r="N12" s="4" t="s">
        <v>120</v>
      </c>
      <c r="O12" s="4" t="s">
        <v>40</v>
      </c>
      <c r="P12" s="4"/>
      <c r="Q12" s="4">
        <v>28000</v>
      </c>
    </row>
    <row r="13" spans="1:17" x14ac:dyDescent="0.35">
      <c r="A13" s="5" t="s">
        <v>121</v>
      </c>
      <c r="B13" s="5"/>
      <c r="C13" s="5" t="s">
        <v>122</v>
      </c>
      <c r="D13" s="5" t="s">
        <v>123</v>
      </c>
      <c r="E13" s="5">
        <v>1200</v>
      </c>
      <c r="F13" s="5">
        <v>1200</v>
      </c>
      <c r="G13" s="5" t="s">
        <v>21</v>
      </c>
      <c r="H13" s="5" t="s">
        <v>72</v>
      </c>
      <c r="I13" s="5" t="s">
        <v>23</v>
      </c>
      <c r="J13" s="5" t="s">
        <v>73</v>
      </c>
      <c r="K13" s="5" t="s">
        <v>124</v>
      </c>
      <c r="L13" s="5"/>
      <c r="M13" s="5"/>
      <c r="N13" s="5" t="s">
        <v>125</v>
      </c>
      <c r="O13" s="5" t="s">
        <v>40</v>
      </c>
      <c r="P13" s="5"/>
      <c r="Q13" s="5">
        <v>1200</v>
      </c>
    </row>
    <row r="14" spans="1:17" x14ac:dyDescent="0.35">
      <c r="A14" s="4" t="s">
        <v>126</v>
      </c>
      <c r="B14" s="4" t="s">
        <v>127</v>
      </c>
      <c r="C14" s="4" t="s">
        <v>128</v>
      </c>
      <c r="D14" s="4" t="s">
        <v>129</v>
      </c>
      <c r="E14" s="4"/>
      <c r="F14" s="4">
        <v>185000</v>
      </c>
      <c r="G14" s="4" t="s">
        <v>21</v>
      </c>
      <c r="H14" s="4" t="s">
        <v>130</v>
      </c>
      <c r="I14" s="4" t="s">
        <v>35</v>
      </c>
      <c r="J14" s="4" t="s">
        <v>64</v>
      </c>
      <c r="K14" s="4" t="s">
        <v>131</v>
      </c>
      <c r="L14" s="4" t="s">
        <v>132</v>
      </c>
      <c r="M14" s="4" t="s">
        <v>133</v>
      </c>
      <c r="N14" s="4" t="s">
        <v>134</v>
      </c>
      <c r="O14" s="4" t="s">
        <v>40</v>
      </c>
      <c r="P14" s="4"/>
      <c r="Q14" s="4">
        <v>185000</v>
      </c>
    </row>
    <row r="15" spans="1:17" x14ac:dyDescent="0.35">
      <c r="A15" s="5" t="s">
        <v>135</v>
      </c>
      <c r="B15" s="5" t="s">
        <v>136</v>
      </c>
      <c r="C15" s="5" t="s">
        <v>137</v>
      </c>
      <c r="D15" s="5" t="s">
        <v>138</v>
      </c>
      <c r="E15" s="5">
        <v>75000</v>
      </c>
      <c r="F15" s="5">
        <v>75000</v>
      </c>
      <c r="G15" s="5" t="s">
        <v>21</v>
      </c>
      <c r="H15" s="5" t="s">
        <v>139</v>
      </c>
      <c r="I15" s="5" t="s">
        <v>23</v>
      </c>
      <c r="J15" s="5" t="s">
        <v>73</v>
      </c>
      <c r="K15" s="5" t="s">
        <v>140</v>
      </c>
      <c r="L15" s="5" t="s">
        <v>141</v>
      </c>
      <c r="M15" s="5" t="s">
        <v>142</v>
      </c>
      <c r="N15" s="5" t="s">
        <v>139</v>
      </c>
      <c r="O15" s="5" t="s">
        <v>28</v>
      </c>
      <c r="P15" s="5">
        <v>11250</v>
      </c>
      <c r="Q15" s="5">
        <v>63750</v>
      </c>
    </row>
    <row r="16" spans="1:17" x14ac:dyDescent="0.35">
      <c r="A16" s="5" t="s">
        <v>143</v>
      </c>
      <c r="B16" s="5" t="s">
        <v>144</v>
      </c>
      <c r="C16" s="5" t="s">
        <v>145</v>
      </c>
      <c r="D16" s="5" t="s">
        <v>146</v>
      </c>
      <c r="E16" s="5"/>
      <c r="F16" s="5"/>
      <c r="G16" s="5" t="s">
        <v>53</v>
      </c>
      <c r="H16" s="5" t="s">
        <v>22</v>
      </c>
      <c r="I16" s="5" t="s">
        <v>46</v>
      </c>
      <c r="J16" s="5"/>
      <c r="K16" s="5" t="s">
        <v>147</v>
      </c>
      <c r="L16" s="5"/>
      <c r="M16" s="5"/>
      <c r="N16" s="5" t="s">
        <v>27</v>
      </c>
      <c r="O16" s="5" t="s">
        <v>28</v>
      </c>
      <c r="P16" s="5"/>
      <c r="Q16" s="5"/>
    </row>
    <row r="17" spans="1:17" x14ac:dyDescent="0.35">
      <c r="A17" s="5" t="s">
        <v>148</v>
      </c>
      <c r="B17" s="5" t="s">
        <v>149</v>
      </c>
      <c r="C17" s="5" t="s">
        <v>150</v>
      </c>
      <c r="D17" s="5" t="s">
        <v>151</v>
      </c>
      <c r="E17" s="5">
        <v>18500</v>
      </c>
      <c r="F17" s="5">
        <v>18500</v>
      </c>
      <c r="G17" s="5" t="s">
        <v>21</v>
      </c>
      <c r="H17" s="5" t="s">
        <v>34</v>
      </c>
      <c r="I17" s="5" t="s">
        <v>23</v>
      </c>
      <c r="J17" s="5" t="s">
        <v>36</v>
      </c>
      <c r="K17" s="5" t="s">
        <v>152</v>
      </c>
      <c r="L17" s="5" t="s">
        <v>153</v>
      </c>
      <c r="M17" s="5" t="s">
        <v>154</v>
      </c>
      <c r="N17" s="5" t="s">
        <v>155</v>
      </c>
      <c r="O17" s="5" t="s">
        <v>40</v>
      </c>
      <c r="P17" s="5">
        <v>0</v>
      </c>
      <c r="Q17" s="5">
        <v>18500</v>
      </c>
    </row>
    <row r="18" spans="1:17" x14ac:dyDescent="0.35">
      <c r="A18" s="5" t="s">
        <v>156</v>
      </c>
      <c r="B18" s="5" t="s">
        <v>157</v>
      </c>
      <c r="C18" s="5" t="s">
        <v>158</v>
      </c>
      <c r="D18" s="5" t="s">
        <v>159</v>
      </c>
      <c r="E18" s="5"/>
      <c r="F18" s="5">
        <v>5000</v>
      </c>
      <c r="G18" s="5" t="s">
        <v>21</v>
      </c>
      <c r="H18" s="5" t="s">
        <v>90</v>
      </c>
      <c r="I18" s="5" t="s">
        <v>23</v>
      </c>
      <c r="J18" s="5" t="s">
        <v>91</v>
      </c>
      <c r="K18" s="5" t="s">
        <v>160</v>
      </c>
      <c r="L18" s="5" t="s">
        <v>161</v>
      </c>
      <c r="M18" s="5"/>
      <c r="N18" s="5" t="s">
        <v>162</v>
      </c>
      <c r="O18" s="5" t="s">
        <v>40</v>
      </c>
      <c r="P18" s="5"/>
      <c r="Q18" s="5">
        <v>5000</v>
      </c>
    </row>
    <row r="19" spans="1:17" x14ac:dyDescent="0.35">
      <c r="A19" s="5" t="s">
        <v>163</v>
      </c>
      <c r="B19" s="5" t="s">
        <v>164</v>
      </c>
      <c r="C19" s="5" t="s">
        <v>165</v>
      </c>
      <c r="D19" s="5" t="s">
        <v>17</v>
      </c>
      <c r="E19" s="5">
        <v>12500</v>
      </c>
      <c r="F19" s="5">
        <v>12500</v>
      </c>
      <c r="G19" s="5" t="s">
        <v>21</v>
      </c>
      <c r="H19" s="5" t="s">
        <v>22</v>
      </c>
      <c r="I19" s="5" t="s">
        <v>23</v>
      </c>
      <c r="J19" s="5" t="s">
        <v>24</v>
      </c>
      <c r="K19" s="5" t="s">
        <v>166</v>
      </c>
      <c r="L19" s="5" t="s">
        <v>25</v>
      </c>
      <c r="M19" s="5" t="s">
        <v>26</v>
      </c>
      <c r="N19" s="5" t="s">
        <v>27</v>
      </c>
      <c r="O19" s="5" t="s">
        <v>28</v>
      </c>
      <c r="P19" s="5">
        <v>1875</v>
      </c>
      <c r="Q19" s="5">
        <v>10625</v>
      </c>
    </row>
    <row r="20" spans="1:17" x14ac:dyDescent="0.35">
      <c r="A20" s="5" t="s">
        <v>167</v>
      </c>
      <c r="B20" s="5" t="s">
        <v>168</v>
      </c>
      <c r="C20" s="5" t="s">
        <v>169</v>
      </c>
      <c r="D20" s="5" t="s">
        <v>170</v>
      </c>
      <c r="E20" s="5"/>
      <c r="F20" s="5">
        <v>4100</v>
      </c>
      <c r="G20" s="5" t="s">
        <v>21</v>
      </c>
      <c r="H20" s="5" t="s">
        <v>33</v>
      </c>
      <c r="I20" s="5" t="s">
        <v>54</v>
      </c>
      <c r="J20" s="5" t="s">
        <v>171</v>
      </c>
      <c r="K20" s="5" t="s">
        <v>172</v>
      </c>
      <c r="L20" s="5" t="s">
        <v>173</v>
      </c>
      <c r="M20" s="5" t="s">
        <v>174</v>
      </c>
      <c r="N20" s="5" t="s">
        <v>39</v>
      </c>
      <c r="O20" s="5" t="s">
        <v>40</v>
      </c>
      <c r="P20" s="5"/>
      <c r="Q20" s="5">
        <v>4100</v>
      </c>
    </row>
    <row r="21" spans="1:17" x14ac:dyDescent="0.35">
      <c r="A21" s="5" t="s">
        <v>175</v>
      </c>
      <c r="B21" s="5" t="s">
        <v>176</v>
      </c>
      <c r="C21" s="5" t="s">
        <v>177</v>
      </c>
      <c r="D21" s="5" t="s">
        <v>178</v>
      </c>
      <c r="E21" s="5">
        <v>15000</v>
      </c>
      <c r="F21" s="5">
        <v>15000</v>
      </c>
      <c r="G21" s="5" t="s">
        <v>21</v>
      </c>
      <c r="H21" s="5"/>
      <c r="I21" s="5" t="s">
        <v>23</v>
      </c>
      <c r="J21" s="5" t="s">
        <v>73</v>
      </c>
      <c r="K21" s="5" t="s">
        <v>179</v>
      </c>
      <c r="L21" s="5" t="s">
        <v>180</v>
      </c>
      <c r="M21" s="5"/>
      <c r="N21" s="5" t="s">
        <v>181</v>
      </c>
      <c r="O21" s="5" t="s">
        <v>40</v>
      </c>
      <c r="P21" s="5">
        <v>0</v>
      </c>
      <c r="Q21" s="5">
        <v>15000</v>
      </c>
    </row>
    <row r="22" spans="1:17" x14ac:dyDescent="0.35">
      <c r="A22" s="5" t="s">
        <v>182</v>
      </c>
      <c r="B22" s="5" t="s">
        <v>183</v>
      </c>
      <c r="C22" s="5" t="s">
        <v>184</v>
      </c>
      <c r="D22" s="5" t="s">
        <v>185</v>
      </c>
      <c r="E22" s="5">
        <v>120000</v>
      </c>
      <c r="F22" s="5">
        <v>120000</v>
      </c>
      <c r="G22" s="5" t="s">
        <v>21</v>
      </c>
      <c r="H22" s="5" t="s">
        <v>62</v>
      </c>
      <c r="I22" s="5" t="s">
        <v>23</v>
      </c>
      <c r="J22" s="5" t="s">
        <v>64</v>
      </c>
      <c r="K22" s="5" t="s">
        <v>186</v>
      </c>
      <c r="L22" s="5" t="s">
        <v>187</v>
      </c>
      <c r="M22" s="5" t="s">
        <v>188</v>
      </c>
      <c r="N22" s="5" t="s">
        <v>189</v>
      </c>
      <c r="O22" s="5" t="s">
        <v>40</v>
      </c>
      <c r="P22" s="5"/>
      <c r="Q22" s="5">
        <v>120000</v>
      </c>
    </row>
    <row r="23" spans="1:17" x14ac:dyDescent="0.35">
      <c r="A23" s="5" t="s">
        <v>190</v>
      </c>
      <c r="B23" s="5" t="s">
        <v>191</v>
      </c>
      <c r="C23" s="5"/>
      <c r="D23" s="5" t="s">
        <v>192</v>
      </c>
      <c r="E23" s="5">
        <v>500</v>
      </c>
      <c r="F23" s="5">
        <v>500</v>
      </c>
      <c r="G23" s="5" t="s">
        <v>21</v>
      </c>
      <c r="H23" s="5"/>
      <c r="I23" s="5" t="s">
        <v>23</v>
      </c>
      <c r="J23" s="5" t="s">
        <v>73</v>
      </c>
      <c r="K23" s="5" t="s">
        <v>193</v>
      </c>
      <c r="L23" s="5"/>
      <c r="M23" s="5"/>
      <c r="N23" s="5" t="s">
        <v>125</v>
      </c>
      <c r="O23" s="5" t="s">
        <v>40</v>
      </c>
      <c r="P23" s="5">
        <v>0</v>
      </c>
      <c r="Q23" s="5">
        <v>500</v>
      </c>
    </row>
    <row r="24" spans="1:17" x14ac:dyDescent="0.35">
      <c r="A24" s="5" t="s">
        <v>194</v>
      </c>
      <c r="B24" s="5" t="s">
        <v>195</v>
      </c>
      <c r="C24" s="5" t="s">
        <v>196</v>
      </c>
      <c r="D24" s="5" t="s">
        <v>197</v>
      </c>
      <c r="E24" s="5">
        <v>8900</v>
      </c>
      <c r="F24" s="5">
        <v>8900</v>
      </c>
      <c r="G24" s="5" t="s">
        <v>21</v>
      </c>
      <c r="H24" s="5" t="s">
        <v>130</v>
      </c>
      <c r="I24" s="5" t="s">
        <v>23</v>
      </c>
      <c r="J24" s="5" t="s">
        <v>64</v>
      </c>
      <c r="K24" s="5" t="s">
        <v>198</v>
      </c>
      <c r="L24" s="5" t="s">
        <v>199</v>
      </c>
      <c r="M24" s="5" t="s">
        <v>200</v>
      </c>
      <c r="N24" s="5" t="s">
        <v>201</v>
      </c>
      <c r="O24" s="5" t="s">
        <v>40</v>
      </c>
      <c r="P24" s="5"/>
      <c r="Q24" s="5">
        <v>8900</v>
      </c>
    </row>
    <row r="25" spans="1:17" x14ac:dyDescent="0.35">
      <c r="A25" s="5" t="s">
        <v>202</v>
      </c>
      <c r="B25" s="5" t="s">
        <v>203</v>
      </c>
      <c r="C25" s="5" t="s">
        <v>204</v>
      </c>
      <c r="D25" s="5" t="s">
        <v>205</v>
      </c>
      <c r="E25" s="5">
        <v>6200</v>
      </c>
      <c r="F25" s="5">
        <v>6200</v>
      </c>
      <c r="G25" s="5" t="s">
        <v>21</v>
      </c>
      <c r="H25" s="5" t="s">
        <v>22</v>
      </c>
      <c r="I25" s="5" t="s">
        <v>35</v>
      </c>
      <c r="J25" s="5" t="s">
        <v>24</v>
      </c>
      <c r="K25" s="5"/>
      <c r="L25" s="5" t="s">
        <v>206</v>
      </c>
      <c r="M25" s="5" t="s">
        <v>207</v>
      </c>
      <c r="N25" s="5" t="s">
        <v>208</v>
      </c>
      <c r="O25" s="5" t="s">
        <v>40</v>
      </c>
      <c r="P25" s="5">
        <v>0</v>
      </c>
      <c r="Q25" s="5">
        <v>6200</v>
      </c>
    </row>
    <row r="26" spans="1:17" x14ac:dyDescent="0.35">
      <c r="A26" s="5" t="s">
        <v>209</v>
      </c>
      <c r="B26" s="5" t="s">
        <v>210</v>
      </c>
      <c r="C26" s="5" t="s">
        <v>211</v>
      </c>
      <c r="D26" s="5" t="s">
        <v>107</v>
      </c>
      <c r="E26" s="5">
        <v>450000</v>
      </c>
      <c r="F26" s="5">
        <v>450000</v>
      </c>
      <c r="G26" s="5" t="s">
        <v>21</v>
      </c>
      <c r="H26" s="5" t="s">
        <v>89</v>
      </c>
      <c r="I26" s="5" t="s">
        <v>46</v>
      </c>
      <c r="J26" s="5"/>
      <c r="K26" s="5" t="s">
        <v>212</v>
      </c>
      <c r="L26" s="5" t="s">
        <v>213</v>
      </c>
      <c r="M26" s="5" t="s">
        <v>214</v>
      </c>
      <c r="N26" s="5" t="s">
        <v>112</v>
      </c>
      <c r="O26" s="5" t="s">
        <v>28</v>
      </c>
      <c r="P26" s="5"/>
      <c r="Q26" s="5"/>
    </row>
  </sheetData>
  <mergeCells count="1">
    <mergeCell ref="K2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22" customWidth="1"/>
    <col min="3" max="3" width="14" customWidth="1"/>
    <col min="4" max="4" width="18" customWidth="1"/>
    <col min="5" max="5" width="14" customWidth="1"/>
    <col min="6" max="6" width="26" customWidth="1"/>
    <col min="7" max="7" width="20" customWidth="1"/>
    <col min="8" max="8" width="14" customWidth="1"/>
    <col min="9" max="9" width="12" customWidth="1"/>
    <col min="10" max="10" width="8" customWidth="1"/>
    <col min="11" max="11" width="14" customWidth="1"/>
    <col min="12" max="12" width="12" customWidth="1"/>
  </cols>
  <sheetData>
    <row r="1" spans="1:12" x14ac:dyDescent="0.35">
      <c r="A1" s="6" t="s">
        <v>215</v>
      </c>
      <c r="B1" s="6" t="s">
        <v>216</v>
      </c>
      <c r="C1" s="6" t="s">
        <v>217</v>
      </c>
      <c r="D1" s="6" t="s">
        <v>218</v>
      </c>
      <c r="E1" s="6" t="s">
        <v>219</v>
      </c>
      <c r="F1" s="6" t="s">
        <v>220</v>
      </c>
      <c r="G1" s="6" t="s">
        <v>221</v>
      </c>
      <c r="H1" s="6" t="s">
        <v>222</v>
      </c>
      <c r="I1" s="6" t="s">
        <v>223</v>
      </c>
      <c r="J1" s="6" t="s">
        <v>8</v>
      </c>
      <c r="K1" s="6" t="s">
        <v>224</v>
      </c>
      <c r="L1" s="6" t="s">
        <v>225</v>
      </c>
    </row>
    <row r="2" spans="1:12" x14ac:dyDescent="0.35">
      <c r="A2" s="5" t="s">
        <v>226</v>
      </c>
      <c r="B2" s="5" t="s">
        <v>20</v>
      </c>
      <c r="C2" s="5" t="s">
        <v>227</v>
      </c>
      <c r="D2" s="5" t="s">
        <v>228</v>
      </c>
      <c r="E2" s="5" t="s">
        <v>229</v>
      </c>
      <c r="F2" s="5" t="s">
        <v>230</v>
      </c>
      <c r="G2" s="5" t="s">
        <v>159</v>
      </c>
      <c r="H2" s="5" t="s">
        <v>231</v>
      </c>
      <c r="I2" s="5" t="s">
        <v>232</v>
      </c>
      <c r="J2" s="5" t="s">
        <v>233</v>
      </c>
      <c r="K2" s="5" t="s">
        <v>234</v>
      </c>
      <c r="L2" s="5" t="s">
        <v>235</v>
      </c>
    </row>
    <row r="3" spans="1:12" x14ac:dyDescent="0.35">
      <c r="A3" s="5" t="s">
        <v>236</v>
      </c>
      <c r="B3" s="5" t="s">
        <v>32</v>
      </c>
      <c r="C3" s="5"/>
      <c r="D3" s="5"/>
      <c r="E3" s="5" t="s">
        <v>237</v>
      </c>
      <c r="F3" s="5"/>
      <c r="G3" s="5" t="s">
        <v>238</v>
      </c>
      <c r="H3" s="5"/>
      <c r="I3" s="5" t="s">
        <v>239</v>
      </c>
      <c r="J3" s="5" t="s">
        <v>233</v>
      </c>
      <c r="K3" s="5" t="s">
        <v>240</v>
      </c>
      <c r="L3" s="5"/>
    </row>
    <row r="4" spans="1:12" x14ac:dyDescent="0.35">
      <c r="A4" s="5" t="s">
        <v>241</v>
      </c>
      <c r="B4" s="5" t="s">
        <v>44</v>
      </c>
      <c r="C4" s="5" t="s">
        <v>242</v>
      </c>
      <c r="D4" s="5"/>
      <c r="E4" s="5"/>
      <c r="F4" s="5"/>
      <c r="G4" s="5" t="s">
        <v>243</v>
      </c>
      <c r="H4" s="5"/>
      <c r="I4" s="5"/>
      <c r="J4" s="5" t="s">
        <v>233</v>
      </c>
      <c r="K4" s="5" t="s">
        <v>240</v>
      </c>
      <c r="L4" s="5" t="s">
        <v>244</v>
      </c>
    </row>
    <row r="5" spans="1:12" x14ac:dyDescent="0.35">
      <c r="A5" s="5" t="s">
        <v>245</v>
      </c>
      <c r="B5" s="5" t="s">
        <v>52</v>
      </c>
      <c r="C5" s="5" t="s">
        <v>246</v>
      </c>
      <c r="D5" s="5" t="s">
        <v>247</v>
      </c>
      <c r="E5" s="5" t="s">
        <v>248</v>
      </c>
      <c r="F5" s="5" t="s">
        <v>249</v>
      </c>
      <c r="G5" s="5" t="s">
        <v>250</v>
      </c>
      <c r="H5" s="5" t="s">
        <v>251</v>
      </c>
      <c r="I5" s="5" t="s">
        <v>252</v>
      </c>
      <c r="J5" s="5" t="s">
        <v>233</v>
      </c>
      <c r="K5" s="5" t="s">
        <v>253</v>
      </c>
      <c r="L5" s="5" t="s">
        <v>60</v>
      </c>
    </row>
    <row r="6" spans="1:12" x14ac:dyDescent="0.35">
      <c r="A6" s="5" t="s">
        <v>254</v>
      </c>
      <c r="B6" s="5" t="s">
        <v>61</v>
      </c>
      <c r="C6" s="5" t="s">
        <v>255</v>
      </c>
      <c r="D6" s="5" t="s">
        <v>256</v>
      </c>
      <c r="E6" s="5"/>
      <c r="F6" s="5"/>
      <c r="G6" s="5" t="s">
        <v>257</v>
      </c>
      <c r="H6" s="5"/>
      <c r="I6" s="5"/>
      <c r="J6" s="5" t="s">
        <v>233</v>
      </c>
      <c r="K6" s="5" t="s">
        <v>258</v>
      </c>
      <c r="L6" s="5"/>
    </row>
    <row r="7" spans="1:12" x14ac:dyDescent="0.35">
      <c r="A7" s="5" t="s">
        <v>259</v>
      </c>
      <c r="B7" s="5" t="s">
        <v>260</v>
      </c>
      <c r="C7" s="5" t="s">
        <v>261</v>
      </c>
      <c r="D7" s="5" t="s">
        <v>262</v>
      </c>
      <c r="E7" s="5" t="s">
        <v>263</v>
      </c>
      <c r="F7" s="5" t="s">
        <v>264</v>
      </c>
      <c r="G7" s="5"/>
      <c r="H7" s="5"/>
      <c r="I7" s="5"/>
      <c r="J7" s="5" t="s">
        <v>233</v>
      </c>
      <c r="K7" s="5"/>
      <c r="L7" s="5" t="s">
        <v>265</v>
      </c>
    </row>
    <row r="8" spans="1:12" x14ac:dyDescent="0.35">
      <c r="A8" s="5" t="s">
        <v>266</v>
      </c>
      <c r="B8" s="5" t="s">
        <v>80</v>
      </c>
      <c r="C8" s="5" t="s">
        <v>267</v>
      </c>
      <c r="D8" s="5" t="s">
        <v>268</v>
      </c>
      <c r="E8" s="5"/>
      <c r="F8" s="5" t="s">
        <v>269</v>
      </c>
      <c r="G8" s="5"/>
      <c r="H8" s="5"/>
      <c r="I8" s="5"/>
      <c r="J8" s="5" t="s">
        <v>233</v>
      </c>
      <c r="K8" s="5" t="s">
        <v>270</v>
      </c>
      <c r="L8" s="5" t="s">
        <v>271</v>
      </c>
    </row>
    <row r="9" spans="1:12" x14ac:dyDescent="0.35">
      <c r="A9" s="5" t="s">
        <v>272</v>
      </c>
      <c r="B9" s="5" t="s">
        <v>88</v>
      </c>
      <c r="C9" s="5" t="s">
        <v>273</v>
      </c>
      <c r="D9" s="5" t="s">
        <v>274</v>
      </c>
      <c r="E9" s="5" t="s">
        <v>275</v>
      </c>
      <c r="F9" s="5" t="s">
        <v>276</v>
      </c>
      <c r="G9" s="5" t="s">
        <v>277</v>
      </c>
      <c r="H9" s="5" t="s">
        <v>278</v>
      </c>
      <c r="I9" s="5" t="s">
        <v>279</v>
      </c>
      <c r="J9" s="5" t="s">
        <v>233</v>
      </c>
      <c r="K9" s="5" t="s">
        <v>280</v>
      </c>
      <c r="L9" s="5" t="s">
        <v>281</v>
      </c>
    </row>
    <row r="10" spans="1:12" x14ac:dyDescent="0.35">
      <c r="A10" s="5" t="s">
        <v>282</v>
      </c>
      <c r="B10" s="5" t="s">
        <v>107</v>
      </c>
      <c r="C10" s="5" t="s">
        <v>283</v>
      </c>
      <c r="D10" s="5" t="s">
        <v>284</v>
      </c>
      <c r="E10" s="5" t="s">
        <v>285</v>
      </c>
      <c r="F10" s="5" t="s">
        <v>286</v>
      </c>
      <c r="G10" s="5" t="s">
        <v>287</v>
      </c>
      <c r="H10" s="5" t="s">
        <v>288</v>
      </c>
      <c r="I10" s="5" t="s">
        <v>252</v>
      </c>
      <c r="J10" s="5" t="s">
        <v>233</v>
      </c>
      <c r="K10" s="5" t="s">
        <v>289</v>
      </c>
      <c r="L10" s="5" t="s">
        <v>290</v>
      </c>
    </row>
    <row r="11" spans="1:12" x14ac:dyDescent="0.35">
      <c r="A11" s="5" t="s">
        <v>291</v>
      </c>
      <c r="B11" s="5" t="s">
        <v>116</v>
      </c>
      <c r="C11" s="5" t="s">
        <v>292</v>
      </c>
      <c r="D11" s="5"/>
      <c r="E11" s="5" t="s">
        <v>293</v>
      </c>
      <c r="F11" s="5" t="s">
        <v>294</v>
      </c>
      <c r="G11" s="5" t="s">
        <v>159</v>
      </c>
      <c r="H11" s="5" t="s">
        <v>295</v>
      </c>
      <c r="I11" s="5"/>
      <c r="J11" s="5" t="s">
        <v>233</v>
      </c>
      <c r="K11" s="5" t="s">
        <v>296</v>
      </c>
      <c r="L11" s="5"/>
    </row>
    <row r="12" spans="1:12" x14ac:dyDescent="0.35">
      <c r="A12" s="5" t="s">
        <v>297</v>
      </c>
      <c r="B12" s="5" t="s">
        <v>138</v>
      </c>
      <c r="C12" s="5" t="s">
        <v>298</v>
      </c>
      <c r="D12" s="5" t="s">
        <v>299</v>
      </c>
      <c r="E12" s="5" t="s">
        <v>300</v>
      </c>
      <c r="F12" s="5" t="s">
        <v>301</v>
      </c>
      <c r="G12" s="5" t="s">
        <v>302</v>
      </c>
      <c r="H12" s="5" t="s">
        <v>303</v>
      </c>
      <c r="I12" s="5" t="s">
        <v>239</v>
      </c>
      <c r="J12" s="5" t="s">
        <v>233</v>
      </c>
      <c r="K12" s="5" t="s">
        <v>304</v>
      </c>
      <c r="L12" s="5" t="s">
        <v>305</v>
      </c>
    </row>
    <row r="13" spans="1:12" x14ac:dyDescent="0.35">
      <c r="A13" s="5" t="s">
        <v>306</v>
      </c>
      <c r="B13" s="5" t="s">
        <v>146</v>
      </c>
      <c r="C13" s="5" t="s">
        <v>267</v>
      </c>
      <c r="D13" s="5"/>
      <c r="E13" s="5"/>
      <c r="F13" s="5"/>
      <c r="G13" s="5"/>
      <c r="H13" s="5"/>
      <c r="I13" s="5"/>
      <c r="J13" s="5" t="s">
        <v>233</v>
      </c>
      <c r="K13" s="5" t="s">
        <v>307</v>
      </c>
      <c r="L13" s="5"/>
    </row>
    <row r="14" spans="1:12" x14ac:dyDescent="0.35">
      <c r="A14" s="5" t="s">
        <v>308</v>
      </c>
      <c r="B14" s="5" t="s">
        <v>151</v>
      </c>
      <c r="C14" s="5"/>
      <c r="D14" s="5" t="s">
        <v>309</v>
      </c>
      <c r="E14" s="5" t="s">
        <v>310</v>
      </c>
      <c r="F14" s="5" t="s">
        <v>311</v>
      </c>
      <c r="G14" s="5" t="s">
        <v>312</v>
      </c>
      <c r="H14" s="5" t="s">
        <v>313</v>
      </c>
      <c r="I14" s="5" t="s">
        <v>232</v>
      </c>
      <c r="J14" s="5" t="s">
        <v>233</v>
      </c>
      <c r="K14" s="5" t="s">
        <v>314</v>
      </c>
      <c r="L14" s="5"/>
    </row>
    <row r="15" spans="1:12" x14ac:dyDescent="0.35">
      <c r="A15" s="5" t="s">
        <v>315</v>
      </c>
      <c r="B15" s="5" t="s">
        <v>178</v>
      </c>
      <c r="C15" s="5" t="s">
        <v>316</v>
      </c>
      <c r="D15" s="5"/>
      <c r="E15" s="5" t="s">
        <v>317</v>
      </c>
      <c r="F15" s="5"/>
      <c r="G15" s="5" t="s">
        <v>257</v>
      </c>
      <c r="H15" s="5"/>
      <c r="I15" s="5"/>
      <c r="J15" s="5"/>
      <c r="K15" s="5"/>
      <c r="L15" s="5"/>
    </row>
    <row r="16" spans="1:12" x14ac:dyDescent="0.35">
      <c r="A16" s="5" t="s">
        <v>318</v>
      </c>
      <c r="B16" s="5" t="s">
        <v>197</v>
      </c>
      <c r="C16" s="5" t="s">
        <v>319</v>
      </c>
      <c r="D16" s="5" t="s">
        <v>320</v>
      </c>
      <c r="E16" s="5" t="s">
        <v>321</v>
      </c>
      <c r="F16" s="5" t="s">
        <v>322</v>
      </c>
      <c r="G16" s="5" t="s">
        <v>287</v>
      </c>
      <c r="H16" s="5" t="s">
        <v>323</v>
      </c>
      <c r="I16" s="5" t="s">
        <v>324</v>
      </c>
      <c r="J16" s="5" t="s">
        <v>233</v>
      </c>
      <c r="K16" s="5" t="s">
        <v>325</v>
      </c>
      <c r="L16" s="5" t="s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/>
  </sheetViews>
  <sheetFormatPr defaultRowHeight="14.5" x14ac:dyDescent="0.35"/>
  <cols>
    <col min="1" max="1" width="18" customWidth="1"/>
    <col min="2" max="3" width="16" customWidth="1"/>
    <col min="4" max="4" width="12" customWidth="1"/>
  </cols>
  <sheetData>
    <row r="1" spans="1:4" ht="18" x14ac:dyDescent="0.4">
      <c r="A1" s="7" t="s">
        <v>326</v>
      </c>
    </row>
    <row r="3" spans="1:4" x14ac:dyDescent="0.35">
      <c r="A3" s="8" t="s">
        <v>13</v>
      </c>
      <c r="B3" s="8" t="s">
        <v>327</v>
      </c>
      <c r="C3" s="8" t="s">
        <v>328</v>
      </c>
      <c r="D3" s="8" t="s">
        <v>329</v>
      </c>
    </row>
    <row r="4" spans="1:4" x14ac:dyDescent="0.35">
      <c r="A4" s="5" t="s">
        <v>27</v>
      </c>
      <c r="B4" s="5"/>
      <c r="C4" s="5"/>
      <c r="D4" s="5"/>
    </row>
    <row r="5" spans="1:4" x14ac:dyDescent="0.35">
      <c r="A5" s="5" t="s">
        <v>39</v>
      </c>
      <c r="B5" s="5"/>
      <c r="C5" s="5"/>
      <c r="D5" s="5"/>
    </row>
    <row r="6" spans="1:4" x14ac:dyDescent="0.35">
      <c r="A6" s="5" t="s">
        <v>58</v>
      </c>
      <c r="B6" s="5"/>
      <c r="C6" s="5"/>
      <c r="D6" s="5"/>
    </row>
    <row r="7" spans="1:4" x14ac:dyDescent="0.35">
      <c r="A7" s="5" t="s">
        <v>67</v>
      </c>
      <c r="B7" s="5"/>
      <c r="C7" s="5"/>
      <c r="D7" s="5"/>
    </row>
    <row r="8" spans="1:4" x14ac:dyDescent="0.35">
      <c r="A8" s="5" t="s">
        <v>77</v>
      </c>
      <c r="B8" s="5"/>
      <c r="C8" s="5"/>
      <c r="D8" s="5"/>
    </row>
    <row r="9" spans="1:4" x14ac:dyDescent="0.35">
      <c r="A9" s="5" t="s">
        <v>84</v>
      </c>
      <c r="B9" s="5"/>
      <c r="C9" s="5"/>
      <c r="D9" s="5"/>
    </row>
    <row r="10" spans="1:4" x14ac:dyDescent="0.35">
      <c r="A10" s="5" t="s">
        <v>94</v>
      </c>
      <c r="B10" s="5"/>
      <c r="C10" s="5"/>
      <c r="D10" s="5"/>
    </row>
    <row r="11" spans="1:4" x14ac:dyDescent="0.35">
      <c r="A11" s="5" t="s">
        <v>103</v>
      </c>
      <c r="B11" s="5"/>
      <c r="C11" s="5"/>
      <c r="D11" s="5"/>
    </row>
    <row r="12" spans="1:4" x14ac:dyDescent="0.35">
      <c r="A12" s="5" t="s">
        <v>112</v>
      </c>
      <c r="B12" s="5"/>
      <c r="C12" s="5"/>
      <c r="D12" s="5"/>
    </row>
    <row r="13" spans="1:4" x14ac:dyDescent="0.35">
      <c r="A13" s="5" t="s">
        <v>120</v>
      </c>
      <c r="B13" s="5"/>
      <c r="C13" s="5"/>
      <c r="D13" s="5"/>
    </row>
    <row r="14" spans="1:4" x14ac:dyDescent="0.35">
      <c r="A14" s="5" t="s">
        <v>125</v>
      </c>
      <c r="B14" s="5"/>
      <c r="C14" s="5"/>
      <c r="D14" s="5"/>
    </row>
    <row r="15" spans="1:4" x14ac:dyDescent="0.35">
      <c r="A15" s="5" t="s">
        <v>134</v>
      </c>
      <c r="B15" s="5"/>
      <c r="C15" s="5"/>
      <c r="D15" s="5"/>
    </row>
    <row r="16" spans="1:4" x14ac:dyDescent="0.35">
      <c r="A16" s="5" t="s">
        <v>139</v>
      </c>
      <c r="B16" s="5"/>
      <c r="C16" s="5"/>
      <c r="D16" s="5"/>
    </row>
    <row r="17" spans="1:4" x14ac:dyDescent="0.35">
      <c r="A17" s="5" t="s">
        <v>155</v>
      </c>
      <c r="B17" s="5"/>
      <c r="C17" s="5"/>
      <c r="D17" s="5"/>
    </row>
    <row r="18" spans="1:4" x14ac:dyDescent="0.35">
      <c r="A18" s="5" t="s">
        <v>162</v>
      </c>
      <c r="B18" s="5"/>
      <c r="C18" s="5"/>
      <c r="D18" s="5"/>
    </row>
    <row r="19" spans="1:4" x14ac:dyDescent="0.35">
      <c r="A19" s="5" t="s">
        <v>189</v>
      </c>
      <c r="B19" s="5"/>
      <c r="C19" s="5"/>
      <c r="D19" s="5"/>
    </row>
    <row r="20" spans="1:4" x14ac:dyDescent="0.35">
      <c r="A20" s="5" t="s">
        <v>201</v>
      </c>
      <c r="B20" s="5"/>
      <c r="C20" s="5"/>
      <c r="D20" s="5"/>
    </row>
    <row r="21" spans="1:4" x14ac:dyDescent="0.35">
      <c r="A21" s="5" t="s">
        <v>208</v>
      </c>
      <c r="B21" s="5"/>
      <c r="C21" s="5"/>
      <c r="D21" s="5"/>
    </row>
    <row r="22" spans="1:4" x14ac:dyDescent="0.35">
      <c r="A22" s="5" t="s">
        <v>181</v>
      </c>
      <c r="B22" s="5"/>
      <c r="C22" s="5"/>
      <c r="D22" s="5"/>
    </row>
    <row r="24" spans="1:4" x14ac:dyDescent="0.35">
      <c r="A24" s="9" t="s">
        <v>330</v>
      </c>
      <c r="B24" s="9">
        <f>SUM(B4:B22)</f>
        <v>0</v>
      </c>
    </row>
    <row r="28" spans="1:4" x14ac:dyDescent="0.35">
      <c r="A28" s="10" t="s">
        <v>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4.5" x14ac:dyDescent="0.35"/>
  <sheetData>
    <row r="1" spans="1:2" x14ac:dyDescent="0.35">
      <c r="A1" t="s">
        <v>332</v>
      </c>
    </row>
    <row r="2" spans="1:2" x14ac:dyDescent="0.35">
      <c r="A2" s="11" t="s">
        <v>333</v>
      </c>
    </row>
    <row r="3" spans="1:2" x14ac:dyDescent="0.35">
      <c r="A3" t="s">
        <v>334</v>
      </c>
      <c r="B3">
        <v>22913</v>
      </c>
    </row>
    <row r="4" spans="1:2" x14ac:dyDescent="0.35">
      <c r="A4" t="s">
        <v>335</v>
      </c>
      <c r="B4">
        <v>45080</v>
      </c>
    </row>
    <row r="5" spans="1:2" x14ac:dyDescent="0.35">
      <c r="A5" t="s">
        <v>336</v>
      </c>
      <c r="B5">
        <v>34966</v>
      </c>
    </row>
    <row r="6" spans="1:2" x14ac:dyDescent="0.35">
      <c r="A6" t="s">
        <v>337</v>
      </c>
      <c r="B6">
        <v>4624</v>
      </c>
    </row>
    <row r="7" spans="1:2" x14ac:dyDescent="0.35">
      <c r="A7" t="s">
        <v>338</v>
      </c>
      <c r="B7">
        <v>15532</v>
      </c>
    </row>
    <row r="8" spans="1:2" x14ac:dyDescent="0.35">
      <c r="A8" t="s">
        <v>339</v>
      </c>
      <c r="B8">
        <v>16992</v>
      </c>
    </row>
    <row r="9" spans="1:2" x14ac:dyDescent="0.35">
      <c r="A9" t="s">
        <v>340</v>
      </c>
      <c r="B9">
        <v>34036</v>
      </c>
    </row>
    <row r="10" spans="1:2" x14ac:dyDescent="0.35">
      <c r="A10" t="s">
        <v>341</v>
      </c>
      <c r="B10">
        <v>14914</v>
      </c>
    </row>
    <row r="11" spans="1:2" x14ac:dyDescent="0.35">
      <c r="A11" t="s">
        <v>342</v>
      </c>
      <c r="B11">
        <v>2568</v>
      </c>
    </row>
    <row r="12" spans="1:2" x14ac:dyDescent="0.35">
      <c r="A12" t="s">
        <v>343</v>
      </c>
      <c r="B12">
        <v>11297</v>
      </c>
    </row>
    <row r="13" spans="1:2" x14ac:dyDescent="0.35">
      <c r="A13" t="s">
        <v>344</v>
      </c>
      <c r="B13">
        <v>23208</v>
      </c>
    </row>
    <row r="14" spans="1:2" x14ac:dyDescent="0.35">
      <c r="A14" t="s">
        <v>345</v>
      </c>
      <c r="B14">
        <v>12582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Vendor Master</vt:lpstr>
      <vt:lpstr>Summary</vt:lpstr>
      <vt:lpstr>OLD - DO NOT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BRIDGIT</cp:lastModifiedBy>
  <dcterms:created xsi:type="dcterms:W3CDTF">2026-06-03T06:44:47Z</dcterms:created>
  <dcterms:modified xsi:type="dcterms:W3CDTF">2026-06-18T12:39:52Z</dcterms:modified>
</cp:coreProperties>
</file>